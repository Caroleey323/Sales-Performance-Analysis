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ol\Downloads\"/>
    </mc:Choice>
  </mc:AlternateContent>
  <bookViews>
    <workbookView xWindow="0" yWindow="0" windowWidth="28800" windowHeight="12210"/>
  </bookViews>
  <sheets>
    <sheet name="Sales_Data" sheetId="1" r:id="rId1"/>
    <sheet name="Sales Summary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D3" i="2"/>
  <c r="D4" i="2"/>
  <c r="D5" i="2"/>
  <c r="D6" i="2"/>
  <c r="D7" i="2"/>
  <c r="D8" i="2"/>
  <c r="D2" i="2"/>
  <c r="B2" i="2"/>
  <c r="B3" i="2"/>
</calcChain>
</file>

<file path=xl/sharedStrings.xml><?xml version="1.0" encoding="utf-8"?>
<sst xmlns="http://schemas.openxmlformats.org/spreadsheetml/2006/main" count="87" uniqueCount="26">
  <si>
    <t>Date</t>
  </si>
  <si>
    <t>Product</t>
  </si>
  <si>
    <t>Category</t>
  </si>
  <si>
    <t>Region</t>
  </si>
  <si>
    <t>Units_Sold</t>
  </si>
  <si>
    <t>Revenue</t>
  </si>
  <si>
    <t>Laptop</t>
  </si>
  <si>
    <t>Electronics</t>
  </si>
  <si>
    <t>South Africa</t>
  </si>
  <si>
    <t>Phone</t>
  </si>
  <si>
    <t>Tablet</t>
  </si>
  <si>
    <t>Nigeria</t>
  </si>
  <si>
    <t>Headphones</t>
  </si>
  <si>
    <t>Accessories</t>
  </si>
  <si>
    <t>Kenya</t>
  </si>
  <si>
    <t>Monitor</t>
  </si>
  <si>
    <t>Keyboard</t>
  </si>
  <si>
    <t>Ghana</t>
  </si>
  <si>
    <t>Mouse</t>
  </si>
  <si>
    <t>Sales Summary</t>
  </si>
  <si>
    <t>Value</t>
  </si>
  <si>
    <t>Total Revenue</t>
  </si>
  <si>
    <t>Total Units  Sold</t>
  </si>
  <si>
    <t>Best selling Produts</t>
  </si>
  <si>
    <t>Best Performing Region</t>
  </si>
  <si>
    <t>Total Revenue2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</si>
</sst>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44" fontId="2" fillId="0" borderId="0" xfId="1" applyFont="1"/>
    <xf numFmtId="44" fontId="0" fillId="0" borderId="0" xfId="1" applyFont="1"/>
  </cellXfs>
  <cellStyles count="2">
    <cellStyle name="Currency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9" formatCode="yyyy/mm/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Revenue</a:t>
            </a: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45647419072615"/>
          <c:y val="0.17171296296296298"/>
          <c:w val="0.79009908136482943"/>
          <c:h val="0.58499927092446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Summary'!$D$1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'Sales Summary'!$C$2:$C$8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Monitor</c:v>
                </c:pt>
                <c:pt idx="4">
                  <c:v>Headphones</c:v>
                </c:pt>
                <c:pt idx="5">
                  <c:v>Keyboard</c:v>
                </c:pt>
                <c:pt idx="6">
                  <c:v>Mouse</c:v>
                </c:pt>
              </c:strCache>
            </c:strRef>
          </c:cat>
          <c:val>
            <c:numRef>
              <c:f>'Sales Summary'!$D$2:$D$8</c:f>
              <c:numCache>
                <c:formatCode>_("R"* #,##0.00_);_("R"* \(#,##0.00\);_("R"* "-"??_);_(@_)</c:formatCode>
                <c:ptCount val="7"/>
                <c:pt idx="0">
                  <c:v>210000</c:v>
                </c:pt>
                <c:pt idx="1">
                  <c:v>444000</c:v>
                </c:pt>
                <c:pt idx="2">
                  <c:v>168000</c:v>
                </c:pt>
                <c:pt idx="3">
                  <c:v>180000</c:v>
                </c:pt>
                <c:pt idx="4">
                  <c:v>24000</c:v>
                </c:pt>
                <c:pt idx="5">
                  <c:v>38000</c:v>
                </c:pt>
                <c:pt idx="6">
                  <c:v>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F-4F3E-900F-AF83119AD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8197584"/>
        <c:axId val="1618195920"/>
      </c:barChart>
      <c:catAx>
        <c:axId val="161819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195920"/>
        <c:crosses val="autoZero"/>
        <c:auto val="1"/>
        <c:lblAlgn val="ctr"/>
        <c:lblOffset val="100"/>
        <c:noMultiLvlLbl val="0"/>
      </c:catAx>
      <c:valAx>
        <c:axId val="1618195920"/>
        <c:scaling>
          <c:orientation val="minMax"/>
        </c:scaling>
        <c:delete val="0"/>
        <c:axPos val="l"/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19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chemeClr val="tx1"/>
                </a:solidFill>
              </a:rPr>
              <a:t>Revenue by Region</a:t>
            </a:r>
          </a:p>
          <a:p>
            <a:pPr>
              <a:defRPr/>
            </a:pPr>
            <a:endParaRPr lang="en-ZA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Summary'!$F$1</c:f>
              <c:strCache>
                <c:ptCount val="1"/>
                <c:pt idx="0">
                  <c:v>Total Revenue2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'Sales Summary'!$E$2:$E$8</c:f>
              <c:strCache>
                <c:ptCount val="4"/>
                <c:pt idx="0">
                  <c:v>South Africa</c:v>
                </c:pt>
                <c:pt idx="1">
                  <c:v>Nigeria</c:v>
                </c:pt>
                <c:pt idx="2">
                  <c:v>Kenya</c:v>
                </c:pt>
                <c:pt idx="3">
                  <c:v>Ghana</c:v>
                </c:pt>
              </c:strCache>
            </c:strRef>
          </c:cat>
          <c:val>
            <c:numRef>
              <c:f>'Sales Summary'!$F$2:$F$8</c:f>
              <c:numCache>
                <c:formatCode>_("R"* #,##0.00_);_("R"* \(#,##0.00\);_("R"* "-"??_);_(@_)</c:formatCode>
                <c:ptCount val="7"/>
                <c:pt idx="0">
                  <c:v>477000</c:v>
                </c:pt>
                <c:pt idx="1">
                  <c:v>283000</c:v>
                </c:pt>
                <c:pt idx="2">
                  <c:v>246000</c:v>
                </c:pt>
                <c:pt idx="3">
                  <c:v>121000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2-48CF-8931-A8F20B4C3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gradFill flip="none" rotWithShape="1">
        <a:gsLst>
          <a:gs pos="13584">
            <a:srgbClr val="7F7F7F"/>
          </a:gs>
          <a:gs pos="0">
            <a:schemeClr val="accent3">
              <a:lumMod val="67000"/>
            </a:schemeClr>
          </a:gs>
          <a:gs pos="48000">
            <a:schemeClr val="accent3">
              <a:lumMod val="97000"/>
              <a:lumOff val="3000"/>
            </a:schemeClr>
          </a:gs>
          <a:gs pos="100000">
            <a:schemeClr val="accent3">
              <a:lumMod val="60000"/>
              <a:lumOff val="40000"/>
            </a:schemeClr>
          </a:gs>
        </a:gsLst>
        <a:lin ang="16200000" scaled="1"/>
        <a:tileRect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9</xdr:row>
      <xdr:rowOff>57150</xdr:rowOff>
    </xdr:from>
    <xdr:to>
      <xdr:col>3</xdr:col>
      <xdr:colOff>933450</xdr:colOff>
      <xdr:row>23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1038225</xdr:colOff>
      <xdr:row>9</xdr:row>
      <xdr:rowOff>85724</xdr:rowOff>
    </xdr:from>
    <xdr:to>
      <xdr:col>10</xdr:col>
      <xdr:colOff>19050</xdr:colOff>
      <xdr:row>23</xdr:row>
      <xdr:rowOff>76199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e3" displayName="Table3" ref="A1:F21" totalsRowShown="0" headerRowDxfId="5">
  <autoFilter ref="A1:F21"/>
  <tableColumns count="6">
    <tableColumn id="1" name="Date" dataDxfId="4"/>
    <tableColumn id="2" name="Product"/>
    <tableColumn id="3" name="Category"/>
    <tableColumn id="4" name="Region"/>
    <tableColumn id="5" name="Units_Sold"/>
    <tableColumn id="6" name="Revenue" dataDxfId="3" dataCellStyle="Currency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8" totalsRowShown="0" headerRowDxfId="2">
  <autoFilter ref="A1:F8"/>
  <tableColumns count="6">
    <tableColumn id="1" name="Sales Summary"/>
    <tableColumn id="2" name="Value"/>
    <tableColumn id="3" name="Product"/>
    <tableColumn id="4" name="Total Revenue" dataDxfId="1" dataCellStyle="Currency">
      <calculatedColumnFormula>SUMIF(Sales_Data!B2:B21,C2,Sales_Data!F2:F21)</calculatedColumnFormula>
    </tableColumn>
    <tableColumn id="5" name="Region"/>
    <tableColumn id="6" name="Total Revenue2" dataDxfId="0" dataCellStyle="Currenc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10.7109375" bestFit="1" customWidth="1"/>
    <col min="2" max="2" width="12.140625" bestFit="1" customWidth="1"/>
    <col min="3" max="3" width="11" customWidth="1"/>
    <col min="4" max="4" width="11.7109375" bestFit="1" customWidth="1"/>
    <col min="5" max="5" width="12.7109375" customWidth="1"/>
    <col min="6" max="6" width="12.5703125" style="4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25">
      <c r="A2" s="2">
        <v>46023</v>
      </c>
      <c r="B2" t="s">
        <v>6</v>
      </c>
      <c r="C2" t="s">
        <v>7</v>
      </c>
      <c r="D2" t="s">
        <v>8</v>
      </c>
      <c r="E2">
        <v>5</v>
      </c>
      <c r="F2" s="4">
        <v>75000</v>
      </c>
    </row>
    <row r="3" spans="1:6" x14ac:dyDescent="0.25">
      <c r="A3" s="2">
        <v>46024</v>
      </c>
      <c r="B3" t="s">
        <v>9</v>
      </c>
      <c r="C3" t="s">
        <v>7</v>
      </c>
      <c r="D3" t="s">
        <v>8</v>
      </c>
      <c r="E3">
        <v>10</v>
      </c>
      <c r="F3" s="4">
        <v>120000</v>
      </c>
    </row>
    <row r="4" spans="1:6" x14ac:dyDescent="0.25">
      <c r="A4" s="2">
        <v>46025</v>
      </c>
      <c r="B4" t="s">
        <v>10</v>
      </c>
      <c r="C4" t="s">
        <v>7</v>
      </c>
      <c r="D4" t="s">
        <v>11</v>
      </c>
      <c r="E4">
        <v>8</v>
      </c>
      <c r="F4" s="4">
        <v>64000</v>
      </c>
    </row>
    <row r="5" spans="1:6" x14ac:dyDescent="0.25">
      <c r="A5" s="2">
        <v>46026</v>
      </c>
      <c r="B5" t="s">
        <v>12</v>
      </c>
      <c r="C5" t="s">
        <v>13</v>
      </c>
      <c r="D5" t="s">
        <v>14</v>
      </c>
      <c r="E5">
        <v>15</v>
      </c>
      <c r="F5" s="4">
        <v>30000</v>
      </c>
    </row>
    <row r="6" spans="1:6" x14ac:dyDescent="0.25">
      <c r="A6" s="2">
        <v>46027</v>
      </c>
      <c r="B6" t="s">
        <v>6</v>
      </c>
      <c r="C6" t="s">
        <v>7</v>
      </c>
      <c r="D6" t="s">
        <v>14</v>
      </c>
      <c r="E6">
        <v>3</v>
      </c>
      <c r="F6" s="4">
        <v>45000</v>
      </c>
    </row>
    <row r="7" spans="1:6" x14ac:dyDescent="0.25">
      <c r="A7" s="2">
        <v>46028</v>
      </c>
      <c r="B7" t="s">
        <v>9</v>
      </c>
      <c r="C7" t="s">
        <v>7</v>
      </c>
      <c r="D7" t="s">
        <v>11</v>
      </c>
      <c r="E7">
        <v>7</v>
      </c>
      <c r="F7" s="4">
        <v>84000</v>
      </c>
    </row>
    <row r="8" spans="1:6" x14ac:dyDescent="0.25">
      <c r="A8" s="2">
        <v>46029</v>
      </c>
      <c r="B8" t="s">
        <v>15</v>
      </c>
      <c r="C8" t="s">
        <v>7</v>
      </c>
      <c r="D8" t="s">
        <v>8</v>
      </c>
      <c r="E8">
        <v>4</v>
      </c>
      <c r="F8" s="4">
        <v>60000</v>
      </c>
    </row>
    <row r="9" spans="1:6" x14ac:dyDescent="0.25">
      <c r="A9" s="2">
        <v>46030</v>
      </c>
      <c r="B9" t="s">
        <v>16</v>
      </c>
      <c r="C9" t="s">
        <v>13</v>
      </c>
      <c r="D9" t="s">
        <v>17</v>
      </c>
      <c r="E9">
        <v>20</v>
      </c>
      <c r="F9" s="4">
        <v>20000</v>
      </c>
    </row>
    <row r="10" spans="1:6" x14ac:dyDescent="0.25">
      <c r="A10" s="2">
        <v>46031</v>
      </c>
      <c r="B10" t="s">
        <v>18</v>
      </c>
      <c r="C10" t="s">
        <v>13</v>
      </c>
      <c r="D10" t="s">
        <v>17</v>
      </c>
      <c r="E10">
        <v>25</v>
      </c>
      <c r="F10" s="4">
        <v>15000</v>
      </c>
    </row>
    <row r="11" spans="1:6" x14ac:dyDescent="0.25">
      <c r="A11" s="2">
        <v>46032</v>
      </c>
      <c r="B11" t="s">
        <v>10</v>
      </c>
      <c r="C11" t="s">
        <v>7</v>
      </c>
      <c r="D11" t="s">
        <v>8</v>
      </c>
      <c r="E11">
        <v>6</v>
      </c>
      <c r="F11" s="4">
        <v>48000</v>
      </c>
    </row>
    <row r="12" spans="1:6" x14ac:dyDescent="0.25">
      <c r="A12" s="2">
        <v>46033</v>
      </c>
      <c r="B12" t="s">
        <v>6</v>
      </c>
      <c r="C12" t="s">
        <v>7</v>
      </c>
      <c r="D12" t="s">
        <v>11</v>
      </c>
      <c r="E12">
        <v>4</v>
      </c>
      <c r="F12" s="4">
        <v>60000</v>
      </c>
    </row>
    <row r="13" spans="1:6" x14ac:dyDescent="0.25">
      <c r="A13" s="2">
        <v>46034</v>
      </c>
      <c r="B13" t="s">
        <v>9</v>
      </c>
      <c r="C13" t="s">
        <v>7</v>
      </c>
      <c r="D13" t="s">
        <v>14</v>
      </c>
      <c r="E13">
        <v>9</v>
      </c>
      <c r="F13" s="4">
        <v>108000</v>
      </c>
    </row>
    <row r="14" spans="1:6" x14ac:dyDescent="0.25">
      <c r="A14" s="2">
        <v>46035</v>
      </c>
      <c r="B14" t="s">
        <v>12</v>
      </c>
      <c r="C14" t="s">
        <v>13</v>
      </c>
      <c r="D14" t="s">
        <v>8</v>
      </c>
      <c r="E14">
        <v>12</v>
      </c>
      <c r="F14" s="4">
        <v>24000</v>
      </c>
    </row>
    <row r="15" spans="1:6" x14ac:dyDescent="0.25">
      <c r="A15" s="2">
        <v>46036</v>
      </c>
      <c r="B15" t="s">
        <v>15</v>
      </c>
      <c r="C15" t="s">
        <v>7</v>
      </c>
      <c r="D15" t="s">
        <v>11</v>
      </c>
      <c r="E15">
        <v>5</v>
      </c>
      <c r="F15" s="4">
        <v>75000</v>
      </c>
    </row>
    <row r="16" spans="1:6" x14ac:dyDescent="0.25">
      <c r="A16" s="2">
        <v>46037</v>
      </c>
      <c r="B16" t="s">
        <v>16</v>
      </c>
      <c r="C16" t="s">
        <v>13</v>
      </c>
      <c r="D16" t="s">
        <v>14</v>
      </c>
      <c r="E16">
        <v>18</v>
      </c>
      <c r="F16" s="4">
        <v>18000</v>
      </c>
    </row>
    <row r="17" spans="1:6" x14ac:dyDescent="0.25">
      <c r="A17" s="2">
        <v>46038</v>
      </c>
      <c r="B17" t="s">
        <v>18</v>
      </c>
      <c r="C17" t="s">
        <v>13</v>
      </c>
      <c r="D17" t="s">
        <v>8</v>
      </c>
      <c r="E17">
        <v>30</v>
      </c>
      <c r="F17" s="4">
        <v>18000</v>
      </c>
    </row>
    <row r="18" spans="1:6" x14ac:dyDescent="0.25">
      <c r="A18" s="2">
        <v>46039</v>
      </c>
      <c r="B18" t="s">
        <v>10</v>
      </c>
      <c r="C18" t="s">
        <v>7</v>
      </c>
      <c r="D18" t="s">
        <v>17</v>
      </c>
      <c r="E18">
        <v>7</v>
      </c>
      <c r="F18" s="4">
        <v>56000</v>
      </c>
    </row>
    <row r="19" spans="1:6" x14ac:dyDescent="0.25">
      <c r="A19" s="2">
        <v>46040</v>
      </c>
      <c r="B19" t="s">
        <v>6</v>
      </c>
      <c r="C19" t="s">
        <v>7</v>
      </c>
      <c r="D19" t="s">
        <v>17</v>
      </c>
      <c r="E19">
        <v>2</v>
      </c>
      <c r="F19" s="4">
        <v>30000</v>
      </c>
    </row>
    <row r="20" spans="1:6" x14ac:dyDescent="0.25">
      <c r="A20" s="2">
        <v>46041</v>
      </c>
      <c r="B20" t="s">
        <v>9</v>
      </c>
      <c r="C20" t="s">
        <v>7</v>
      </c>
      <c r="D20" t="s">
        <v>8</v>
      </c>
      <c r="E20">
        <v>11</v>
      </c>
      <c r="F20" s="4">
        <v>132000</v>
      </c>
    </row>
    <row r="21" spans="1:6" x14ac:dyDescent="0.25">
      <c r="A21" s="2">
        <v>46042</v>
      </c>
      <c r="B21" t="s">
        <v>15</v>
      </c>
      <c r="C21" t="s">
        <v>7</v>
      </c>
      <c r="D21" t="s">
        <v>14</v>
      </c>
      <c r="E21">
        <v>3</v>
      </c>
      <c r="F21" s="4">
        <v>45000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34" sqref="F34"/>
    </sheetView>
  </sheetViews>
  <sheetFormatPr defaultRowHeight="15" x14ac:dyDescent="0.25"/>
  <cols>
    <col min="1" max="1" width="23.85546875" bestFit="1" customWidth="1"/>
    <col min="2" max="2" width="14.140625" bestFit="1" customWidth="1"/>
    <col min="3" max="3" width="12.140625" bestFit="1" customWidth="1"/>
    <col min="4" max="4" width="16.7109375" style="4" customWidth="1"/>
    <col min="5" max="5" width="11.7109375" bestFit="1" customWidth="1"/>
    <col min="6" max="6" width="17.7109375" style="4" customWidth="1"/>
  </cols>
  <sheetData>
    <row r="1" spans="1:6" s="1" customFormat="1" x14ac:dyDescent="0.25">
      <c r="A1" s="1" t="s">
        <v>19</v>
      </c>
      <c r="B1" s="1" t="s">
        <v>20</v>
      </c>
      <c r="C1" s="1" t="s">
        <v>1</v>
      </c>
      <c r="D1" s="3" t="s">
        <v>21</v>
      </c>
      <c r="E1" s="1" t="s">
        <v>3</v>
      </c>
      <c r="F1" s="3" t="s">
        <v>25</v>
      </c>
    </row>
    <row r="2" spans="1:6" x14ac:dyDescent="0.25">
      <c r="A2" t="s">
        <v>21</v>
      </c>
      <c r="B2" s="4">
        <f>SUM(Sales_Data!F2:F21)</f>
        <v>1127000</v>
      </c>
      <c r="C2" t="s">
        <v>6</v>
      </c>
      <c r="D2" s="4">
        <f>SUMIF(Sales_Data!B2:B21,C2,Sales_Data!F2:F21)</f>
        <v>210000</v>
      </c>
      <c r="E2" t="s">
        <v>8</v>
      </c>
      <c r="F2" s="4">
        <f>SUMIF(Sales_Data!D2:D21,E2,Sales_Data!F2:F21)</f>
        <v>477000</v>
      </c>
    </row>
    <row r="3" spans="1:6" x14ac:dyDescent="0.25">
      <c r="A3" t="s">
        <v>22</v>
      </c>
      <c r="B3">
        <f>SUM(Sales_Data!E2:E21)</f>
        <v>204</v>
      </c>
      <c r="C3" t="s">
        <v>9</v>
      </c>
      <c r="D3" s="4">
        <f>SUMIF(Sales_Data!B3:B22,C3,Sales_Data!F3:F22)</f>
        <v>444000</v>
      </c>
      <c r="E3" t="s">
        <v>11</v>
      </c>
      <c r="F3" s="4">
        <f>SUMIF(Sales_Data!D3:D22,E3,Sales_Data!F3:F22)</f>
        <v>283000</v>
      </c>
    </row>
    <row r="4" spans="1:6" x14ac:dyDescent="0.25">
      <c r="A4" t="s">
        <v>23</v>
      </c>
      <c r="B4" s="4">
        <v>444000</v>
      </c>
      <c r="C4" t="s">
        <v>10</v>
      </c>
      <c r="D4" s="4">
        <f>SUMIF(Sales_Data!B4:B23,C4,Sales_Data!F4:F23)</f>
        <v>168000</v>
      </c>
      <c r="E4" t="s">
        <v>14</v>
      </c>
      <c r="F4" s="4">
        <f>SUMIF(Sales_Data!D4:D23,E4,Sales_Data!F4:F23)</f>
        <v>246000</v>
      </c>
    </row>
    <row r="5" spans="1:6" x14ac:dyDescent="0.25">
      <c r="A5" t="s">
        <v>24</v>
      </c>
      <c r="B5" s="4">
        <v>477000</v>
      </c>
      <c r="C5" t="s">
        <v>15</v>
      </c>
      <c r="D5" s="4">
        <f>SUMIF(Sales_Data!B5:B24,C5,Sales_Data!F5:F24)</f>
        <v>180000</v>
      </c>
      <c r="E5" t="s">
        <v>17</v>
      </c>
      <c r="F5" s="4">
        <f>SUMIF(Sales_Data!D5:D24,E5,Sales_Data!F5:F24)</f>
        <v>121000</v>
      </c>
    </row>
    <row r="6" spans="1:6" x14ac:dyDescent="0.25">
      <c r="C6" t="s">
        <v>12</v>
      </c>
      <c r="D6" s="4">
        <f>SUMIF(Sales_Data!B6:B25,C6,Sales_Data!F6:F25)</f>
        <v>24000</v>
      </c>
    </row>
    <row r="7" spans="1:6" x14ac:dyDescent="0.25">
      <c r="C7" t="s">
        <v>16</v>
      </c>
      <c r="D7" s="4">
        <f>SUMIF(Sales_Data!B7:B26,C7,Sales_Data!F7:F26)</f>
        <v>38000</v>
      </c>
    </row>
    <row r="8" spans="1:6" x14ac:dyDescent="0.25">
      <c r="C8" t="s">
        <v>18</v>
      </c>
      <c r="D8" s="4">
        <f>SUMIF(Sales_Data!B8:B27,C8,Sales_Data!F8:F27)</f>
        <v>33000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Sales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</cp:lastModifiedBy>
  <dcterms:created xsi:type="dcterms:W3CDTF">2026-02-03T11:26:18Z</dcterms:created>
  <dcterms:modified xsi:type="dcterms:W3CDTF">2026-02-03T20:38:00Z</dcterms:modified>
</cp:coreProperties>
</file>